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Task Updates" sheetId="4" state="visible" r:id="rId4"/>
    <sheet xmlns:r="http://schemas.openxmlformats.org/officeDocument/2006/relationships" name="Team Members" sheetId="5" state="visible" r:id="rId5"/>
    <sheet xmlns:r="http://schemas.openxmlformats.org/officeDocument/2006/relationships" name="Sync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C6EFCE"/>
      </patternFill>
    </fill>
    <fill>
      <patternFill patternType="solid">
        <fgColor rgb="009BC2E6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E7E6E6"/>
      </patternFill>
    </fill>
    <fill>
      <patternFill patternType="solid">
        <fgColor rgb="00C00000"/>
      </patternFill>
    </fill>
    <fill>
      <patternFill patternType="solid">
        <fgColor rgb="00F4B084"/>
      </patternFill>
    </fill>
    <fill>
      <patternFill patternType="solid">
        <fgColor rgb="00C1E1C1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1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PROJECT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Tasks</t>
        </is>
      </c>
      <c r="B4" s="3">
        <f>COUNTA(Tasks!A2:A1000)</f>
        <v/>
      </c>
    </row>
    <row r="5">
      <c r="A5" s="3" t="inlineStr">
        <is>
          <t>Completed Tasks</t>
        </is>
      </c>
      <c r="B5" s="3">
        <f>COUNTIF(Tasks!H:H,"Done")</f>
        <v/>
      </c>
    </row>
    <row r="6">
      <c r="A6" s="3" t="inlineStr">
        <is>
          <t>In Progress Tasks</t>
        </is>
      </c>
      <c r="B6" s="3">
        <f>COUNTIF(Tasks!H:H,"In Progress")</f>
        <v/>
      </c>
    </row>
    <row r="7">
      <c r="A7" s="3" t="inlineStr">
        <is>
          <t>Blocked Tasks</t>
        </is>
      </c>
      <c r="B7" s="3">
        <f>COUNTIF(Tasks!H:H,"Blocked")</f>
        <v/>
      </c>
    </row>
    <row r="8">
      <c r="A8" s="3" t="inlineStr">
        <is>
          <t>Pending Sync</t>
        </is>
      </c>
      <c r="B8" s="3">
        <f>COUNTIF(Tasks!K:K,"Pending")</f>
        <v/>
      </c>
    </row>
    <row r="9">
      <c r="A9" s="3" t="inlineStr">
        <is>
          <t>High Priority Tasks</t>
        </is>
      </c>
      <c r="B9" s="3">
        <f>COUNTIF(Tasks!G:G,"High")</f>
        <v/>
      </c>
    </row>
    <row r="10">
      <c r="A10" s="3" t="inlineStr">
        <is>
          <t>Critical Priority Tasks</t>
        </is>
      </c>
      <c r="B10" s="3">
        <f>COUNTIF(Tasks!G:G,"Critical")</f>
        <v/>
      </c>
    </row>
    <row r="11">
      <c r="A11" s="3" t="inlineStr">
        <is>
          <t>Overdue Tasks</t>
        </is>
      </c>
      <c r="B11" s="3">
        <f>SUMPRODUCT((Tasks!I2:I1000&lt;TODAY())*(Tasks!H2:H1000&lt;&gt;"Done"))</f>
        <v/>
      </c>
    </row>
    <row r="13">
      <c r="A13" s="4" t="inlineStr">
        <is>
          <t>Active Projects</t>
        </is>
      </c>
      <c r="B13" s="3">
        <f>COUNTIF(Projects!G:G,"Active")</f>
        <v/>
      </c>
    </row>
    <row r="14">
      <c r="A14" s="4" t="inlineStr">
        <is>
          <t>Completion Rate</t>
        </is>
      </c>
      <c r="B14" s="5">
        <f>IFERROR(B5/(B5+B6+B7+B8),0)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7" customWidth="1" min="4" max="4"/>
    <col width="12" customWidth="1" min="5" max="5"/>
    <col width="12" customWidth="1" min="6" max="6"/>
    <col width="9" customWidth="1" min="7" max="7"/>
    <col width="37" customWidth="1" min="8" max="8"/>
  </cols>
  <sheetData>
    <row r="1">
      <c r="A1" s="6" t="inlineStr">
        <is>
          <t>project_id</t>
        </is>
      </c>
      <c r="B1" s="6" t="inlineStr">
        <is>
          <t>project_name</t>
        </is>
      </c>
      <c r="C1" s="6" t="inlineStr">
        <is>
          <t>jira_project_key</t>
        </is>
      </c>
      <c r="D1" s="6" t="inlineStr">
        <is>
          <t>owner</t>
        </is>
      </c>
      <c r="E1" s="6" t="inlineStr">
        <is>
          <t>start_date</t>
        </is>
      </c>
      <c r="F1" s="6" t="inlineStr">
        <is>
          <t>end_date</t>
        </is>
      </c>
      <c r="G1" s="6" t="inlineStr">
        <is>
          <t>status</t>
        </is>
      </c>
      <c r="H1" s="6" t="inlineStr">
        <is>
          <t>description</t>
        </is>
      </c>
    </row>
    <row r="2">
      <c r="A2" t="inlineStr">
        <is>
          <t>PROJ001</t>
        </is>
      </c>
      <c r="B2" t="inlineStr">
        <is>
          <t>AI Task Manager</t>
        </is>
      </c>
      <c r="C2" t="inlineStr">
        <is>
          <t>AIM</t>
        </is>
      </c>
      <c r="D2" t="inlineStr">
        <is>
          <t>duong</t>
        </is>
      </c>
      <c r="E2" t="inlineStr">
        <is>
          <t>2026-03-01</t>
        </is>
      </c>
      <c r="F2" t="inlineStr">
        <is>
          <t>2026-05-30</t>
        </is>
      </c>
      <c r="G2" s="7" t="inlineStr">
        <is>
          <t>Active</t>
        </is>
      </c>
      <c r="H2" t="inlineStr">
        <is>
          <t>Build AI workflow automation system</t>
        </is>
      </c>
    </row>
    <row r="3">
      <c r="A3" t="inlineStr">
        <is>
          <t>PROJ002</t>
        </is>
      </c>
      <c r="B3" t="inlineStr">
        <is>
          <t>Mobile App Redesign</t>
        </is>
      </c>
      <c r="C3" t="inlineStr">
        <is>
          <t>MAR</t>
        </is>
      </c>
      <c r="D3" t="inlineStr">
        <is>
          <t>linh</t>
        </is>
      </c>
      <c r="E3" t="inlineStr">
        <is>
          <t>2026-02-15</t>
        </is>
      </c>
      <c r="F3" t="inlineStr">
        <is>
          <t>2026-04-30</t>
        </is>
      </c>
      <c r="G3" s="7" t="inlineStr">
        <is>
          <t>Active</t>
        </is>
      </c>
      <c r="H3" t="inlineStr">
        <is>
          <t>Complete UI/UX overhaul for mobile</t>
        </is>
      </c>
    </row>
    <row r="4">
      <c r="A4" t="inlineStr">
        <is>
          <t>PROJ003</t>
        </is>
      </c>
      <c r="B4" t="inlineStr">
        <is>
          <t>Database Migration</t>
        </is>
      </c>
      <c r="C4" t="inlineStr">
        <is>
          <t>DBM</t>
        </is>
      </c>
      <c r="D4" t="inlineStr">
        <is>
          <t>mai</t>
        </is>
      </c>
      <c r="E4" t="inlineStr">
        <is>
          <t>2026-03-10</t>
        </is>
      </c>
      <c r="F4" t="inlineStr">
        <is>
          <t>2026-06-15</t>
        </is>
      </c>
      <c r="G4" s="8" t="inlineStr">
        <is>
          <t>Planned</t>
        </is>
      </c>
      <c r="H4" t="inlineStr">
        <is>
          <t>Migrate from MySQL to PostgreSQL</t>
        </is>
      </c>
    </row>
    <row r="5">
      <c r="A5" t="inlineStr">
        <is>
          <t>PROJ004</t>
        </is>
      </c>
      <c r="B5" t="inlineStr">
        <is>
          <t>Customer Portal</t>
        </is>
      </c>
      <c r="C5" t="inlineStr">
        <is>
          <t>CP</t>
        </is>
      </c>
      <c r="D5" t="inlineStr">
        <is>
          <t>duong</t>
        </is>
      </c>
      <c r="E5" t="inlineStr">
        <is>
          <t>2026-01-01</t>
        </is>
      </c>
      <c r="F5" t="inlineStr">
        <is>
          <t>2026-03-01</t>
        </is>
      </c>
      <c r="G5" s="9" t="inlineStr">
        <is>
          <t>Done</t>
        </is>
      </c>
      <c r="H5" t="inlineStr">
        <is>
          <t>Self-service customer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  <col width="50" customWidth="1" min="4" max="4"/>
    <col width="10" customWidth="1" min="5" max="5"/>
    <col width="10" customWidth="1" min="6" max="6"/>
    <col width="10" customWidth="1" min="7" max="7"/>
    <col width="13" customWidth="1" min="8" max="8"/>
    <col width="12" customWidth="1" min="9" max="9"/>
    <col width="16" customWidth="1" min="10" max="10"/>
    <col width="13" customWidth="1" min="11" max="11"/>
    <col width="18" customWidth="1" min="12" max="12"/>
  </cols>
  <sheetData>
    <row r="1">
      <c r="A1" s="6" t="inlineStr">
        <is>
          <t>task_id</t>
        </is>
      </c>
      <c r="B1" s="6" t="inlineStr">
        <is>
          <t>project_id</t>
        </is>
      </c>
      <c r="C1" s="6" t="inlineStr">
        <is>
          <t>task_name</t>
        </is>
      </c>
      <c r="D1" s="6" t="inlineStr">
        <is>
          <t>description</t>
        </is>
      </c>
      <c r="E1" s="6" t="inlineStr">
        <is>
          <t>assignee</t>
        </is>
      </c>
      <c r="F1" s="6" t="inlineStr">
        <is>
          <t>reporter</t>
        </is>
      </c>
      <c r="G1" s="6" t="inlineStr">
        <is>
          <t>priority</t>
        </is>
      </c>
      <c r="H1" s="6" t="inlineStr">
        <is>
          <t>status</t>
        </is>
      </c>
      <c r="I1" s="6" t="inlineStr">
        <is>
          <t>due_date</t>
        </is>
      </c>
      <c r="J1" s="6" t="inlineStr">
        <is>
          <t>jira_issue_key</t>
        </is>
      </c>
      <c r="K1" s="6" t="inlineStr">
        <is>
          <t>sync_status</t>
        </is>
      </c>
      <c r="L1" s="6" t="inlineStr">
        <is>
          <t>last_updated</t>
        </is>
      </c>
    </row>
    <row r="2">
      <c r="A2" t="inlineStr">
        <is>
          <t>T001</t>
        </is>
      </c>
      <c r="B2" t="inlineStr">
        <is>
          <t>PROJ001</t>
        </is>
      </c>
      <c r="C2" t="inlineStr">
        <is>
          <t>Build REST API</t>
        </is>
      </c>
      <c r="D2" t="inlineStr">
        <is>
          <t>Create authentication and authorization endpoints</t>
        </is>
      </c>
      <c r="E2" t="inlineStr">
        <is>
          <t>duong</t>
        </is>
      </c>
      <c r="F2" t="inlineStr">
        <is>
          <t>linh</t>
        </is>
      </c>
      <c r="G2" s="10" t="inlineStr">
        <is>
          <t>High</t>
        </is>
      </c>
      <c r="H2" s="11" t="inlineStr">
        <is>
          <t>In Progress</t>
        </is>
      </c>
      <c r="I2" t="inlineStr">
        <is>
          <t>2026-03-10</t>
        </is>
      </c>
      <c r="J2" t="inlineStr">
        <is>
          <t>AIM-23</t>
        </is>
      </c>
      <c r="K2" t="inlineStr">
        <is>
          <t>Synced</t>
        </is>
      </c>
      <c r="L2" t="inlineStr">
        <is>
          <t>2026-03-05 14:30</t>
        </is>
      </c>
    </row>
    <row r="3">
      <c r="A3" t="inlineStr">
        <is>
          <t>T002</t>
        </is>
      </c>
      <c r="B3" t="inlineStr">
        <is>
          <t>PROJ001</t>
        </is>
      </c>
      <c r="C3" t="inlineStr">
        <is>
          <t>Setup PostgreSQL</t>
        </is>
      </c>
      <c r="D3" t="inlineStr">
        <is>
          <t>Configure database schema and indexes</t>
        </is>
      </c>
      <c r="E3" t="inlineStr">
        <is>
          <t>mai</t>
        </is>
      </c>
      <c r="F3" t="inlineStr">
        <is>
          <t>duong</t>
        </is>
      </c>
      <c r="G3" s="12" t="inlineStr">
        <is>
          <t>Medium</t>
        </is>
      </c>
      <c r="H3" s="11" t="inlineStr">
        <is>
          <t>In Progress</t>
        </is>
      </c>
      <c r="I3" t="inlineStr">
        <is>
          <t>2026-03-15</t>
        </is>
      </c>
      <c r="J3" t="inlineStr">
        <is>
          <t>AIM-24</t>
        </is>
      </c>
      <c r="K3" t="inlineStr">
        <is>
          <t>Synced</t>
        </is>
      </c>
      <c r="L3" t="inlineStr">
        <is>
          <t>2026-03-05 10:15</t>
        </is>
      </c>
    </row>
    <row r="4">
      <c r="A4" t="inlineStr">
        <is>
          <t>T003</t>
        </is>
      </c>
      <c r="B4" t="inlineStr">
        <is>
          <t>PROJ001</t>
        </is>
      </c>
      <c r="C4" t="inlineStr">
        <is>
          <t>Design UI Components</t>
        </is>
      </c>
      <c r="D4" t="inlineStr">
        <is>
          <t>Create reusable React components library</t>
        </is>
      </c>
      <c r="E4" t="inlineStr">
        <is>
          <t>linh</t>
        </is>
      </c>
      <c r="F4" t="inlineStr">
        <is>
          <t>duong</t>
        </is>
      </c>
      <c r="G4" s="12" t="inlineStr">
        <is>
          <t>Medium</t>
        </is>
      </c>
      <c r="H4" s="13" t="inlineStr">
        <is>
          <t>To Do</t>
        </is>
      </c>
      <c r="I4" t="inlineStr">
        <is>
          <t>2026-03-20</t>
        </is>
      </c>
      <c r="J4" t="inlineStr">
        <is>
          <t>AIM-25</t>
        </is>
      </c>
      <c r="K4" t="inlineStr">
        <is>
          <t>Synced</t>
        </is>
      </c>
      <c r="L4" t="inlineStr">
        <is>
          <t>2026-03-04 16:45</t>
        </is>
      </c>
    </row>
    <row r="5">
      <c r="A5" t="inlineStr">
        <is>
          <t>T004</t>
        </is>
      </c>
      <c r="B5" t="inlineStr">
        <is>
          <t>PROJ001</t>
        </is>
      </c>
      <c r="C5" t="inlineStr">
        <is>
          <t>Setup CI/CD Pipeline</t>
        </is>
      </c>
      <c r="D5" t="inlineStr">
        <is>
          <t>Configure GitHub Actions for deployment</t>
        </is>
      </c>
      <c r="E5" t="inlineStr">
        <is>
          <t>duong</t>
        </is>
      </c>
      <c r="F5" t="inlineStr">
        <is>
          <t>mai</t>
        </is>
      </c>
      <c r="G5" s="10" t="inlineStr">
        <is>
          <t>High</t>
        </is>
      </c>
      <c r="H5" s="13" t="inlineStr">
        <is>
          <t>To Do</t>
        </is>
      </c>
      <c r="I5" t="inlineStr">
        <is>
          <t>2026-03-12</t>
        </is>
      </c>
      <c r="J5" t="inlineStr">
        <is>
          <t>AIM-26</t>
        </is>
      </c>
      <c r="K5" t="inlineStr">
        <is>
          <t>Pending</t>
        </is>
      </c>
      <c r="L5" t="inlineStr">
        <is>
          <t>2026-03-05 09:00</t>
        </is>
      </c>
    </row>
    <row r="6">
      <c r="A6" t="inlineStr">
        <is>
          <t>T005</t>
        </is>
      </c>
      <c r="B6" t="inlineStr">
        <is>
          <t>PROJ002</t>
        </is>
      </c>
      <c r="C6" t="inlineStr">
        <is>
          <t>User Research</t>
        </is>
      </c>
      <c r="D6" t="inlineStr">
        <is>
          <t>Conduct interviews and surveys</t>
        </is>
      </c>
      <c r="E6" t="inlineStr">
        <is>
          <t>linh</t>
        </is>
      </c>
      <c r="F6" t="inlineStr">
        <is>
          <t>linh</t>
        </is>
      </c>
      <c r="G6" s="14" t="inlineStr">
        <is>
          <t>Critical</t>
        </is>
      </c>
      <c r="H6" s="9" t="inlineStr">
        <is>
          <t>Done</t>
        </is>
      </c>
      <c r="I6" t="inlineStr">
        <is>
          <t>2026-02-20</t>
        </is>
      </c>
      <c r="J6" t="inlineStr">
        <is>
          <t>MAR-12</t>
        </is>
      </c>
      <c r="K6" t="inlineStr">
        <is>
          <t>Synced</t>
        </is>
      </c>
      <c r="L6" t="inlineStr">
        <is>
          <t>2026-02-25 11:20</t>
        </is>
      </c>
    </row>
    <row r="7">
      <c r="A7" t="inlineStr">
        <is>
          <t>T006</t>
        </is>
      </c>
      <c r="B7" t="inlineStr">
        <is>
          <t>PROJ002</t>
        </is>
      </c>
      <c r="C7" t="inlineStr">
        <is>
          <t>Wireframe Design</t>
        </is>
      </c>
      <c r="D7" t="inlineStr">
        <is>
          <t>Create low-fidelity wireframes</t>
        </is>
      </c>
      <c r="E7" t="inlineStr">
        <is>
          <t>linh</t>
        </is>
      </c>
      <c r="F7" t="inlineStr">
        <is>
          <t>linh</t>
        </is>
      </c>
      <c r="G7" s="10" t="inlineStr">
        <is>
          <t>High</t>
        </is>
      </c>
      <c r="H7" s="9" t="inlineStr">
        <is>
          <t>Done</t>
        </is>
      </c>
      <c r="I7" t="inlineStr">
        <is>
          <t>2026-02-28</t>
        </is>
      </c>
      <c r="J7" t="inlineStr">
        <is>
          <t>MAR-13</t>
        </is>
      </c>
      <c r="K7" t="inlineStr">
        <is>
          <t>Synced</t>
        </is>
      </c>
      <c r="L7" t="inlineStr">
        <is>
          <t>2026-03-01 15:30</t>
        </is>
      </c>
    </row>
    <row r="8">
      <c r="A8" t="inlineStr">
        <is>
          <t>T007</t>
        </is>
      </c>
      <c r="B8" t="inlineStr">
        <is>
          <t>PROJ002</t>
        </is>
      </c>
      <c r="C8" t="inlineStr">
        <is>
          <t>High-fidelity Mockups</t>
        </is>
      </c>
      <c r="D8" t="inlineStr">
        <is>
          <t>Design pixel-perfect screens</t>
        </is>
      </c>
      <c r="E8" t="inlineStr">
        <is>
          <t>linh</t>
        </is>
      </c>
      <c r="F8" t="inlineStr">
        <is>
          <t>duong</t>
        </is>
      </c>
      <c r="G8" s="10" t="inlineStr">
        <is>
          <t>High</t>
        </is>
      </c>
      <c r="H8" s="11" t="inlineStr">
        <is>
          <t>In Progress</t>
        </is>
      </c>
      <c r="I8" t="inlineStr">
        <is>
          <t>2026-03-15</t>
        </is>
      </c>
      <c r="J8" t="inlineStr">
        <is>
          <t>MAR-14</t>
        </is>
      </c>
      <c r="K8" t="inlineStr">
        <is>
          <t>Synced</t>
        </is>
      </c>
      <c r="L8" t="inlineStr">
        <is>
          <t>2026-03-05 13:00</t>
        </is>
      </c>
    </row>
    <row r="9">
      <c r="A9" t="inlineStr">
        <is>
          <t>T008</t>
        </is>
      </c>
      <c r="B9" t="inlineStr">
        <is>
          <t>PROJ002</t>
        </is>
      </c>
      <c r="C9" t="inlineStr">
        <is>
          <t>Implement Navigation</t>
        </is>
      </c>
      <c r="D9" t="inlineStr">
        <is>
          <t>Build bottom tab and drawer navigation</t>
        </is>
      </c>
      <c r="E9" t="inlineStr">
        <is>
          <t>mai</t>
        </is>
      </c>
      <c r="F9" t="inlineStr">
        <is>
          <t>linh</t>
        </is>
      </c>
      <c r="G9" s="12" t="inlineStr">
        <is>
          <t>Medium</t>
        </is>
      </c>
      <c r="H9" s="13" t="inlineStr">
        <is>
          <t>To Do</t>
        </is>
      </c>
      <c r="I9" t="inlineStr">
        <is>
          <t>2026-03-25</t>
        </is>
      </c>
      <c r="J9" t="inlineStr">
        <is>
          <t>MAR-15</t>
        </is>
      </c>
      <c r="K9" t="inlineStr">
        <is>
          <t>Synced</t>
        </is>
      </c>
      <c r="L9" t="inlineStr">
        <is>
          <t>2026-03-03 10:00</t>
        </is>
      </c>
    </row>
    <row r="10">
      <c r="A10" t="inlineStr">
        <is>
          <t>T009</t>
        </is>
      </c>
      <c r="B10" t="inlineStr">
        <is>
          <t>PROJ003</t>
        </is>
      </c>
      <c r="C10" t="inlineStr">
        <is>
          <t>Assess Current Schema</t>
        </is>
      </c>
      <c r="D10" t="inlineStr">
        <is>
          <t>Document existing database structure</t>
        </is>
      </c>
      <c r="E10" t="inlineStr">
        <is>
          <t>mai</t>
        </is>
      </c>
      <c r="F10" t="inlineStr">
        <is>
          <t>mai</t>
        </is>
      </c>
      <c r="G10" s="12" t="inlineStr">
        <is>
          <t>Medium</t>
        </is>
      </c>
      <c r="H10" s="13" t="inlineStr">
        <is>
          <t>To Do</t>
        </is>
      </c>
      <c r="I10" t="inlineStr">
        <is>
          <t>2026-03-20</t>
        </is>
      </c>
      <c r="J10" t="inlineStr"/>
      <c r="K10" t="inlineStr">
        <is>
          <t>Pending</t>
        </is>
      </c>
      <c r="L10" t="inlineStr">
        <is>
          <t>2026-03-05 08:30</t>
        </is>
      </c>
    </row>
    <row r="11">
      <c r="A11" t="inlineStr">
        <is>
          <t>T010</t>
        </is>
      </c>
      <c r="B11" t="inlineStr">
        <is>
          <t>PROJ003</t>
        </is>
      </c>
      <c r="C11" t="inlineStr">
        <is>
          <t>Migration Plan</t>
        </is>
      </c>
      <c r="D11" t="inlineStr">
        <is>
          <t>Create detailed migration strategy</t>
        </is>
      </c>
      <c r="E11" t="inlineStr">
        <is>
          <t>mai</t>
        </is>
      </c>
      <c r="F11" t="inlineStr">
        <is>
          <t>duong</t>
        </is>
      </c>
      <c r="G11" s="10" t="inlineStr">
        <is>
          <t>High</t>
        </is>
      </c>
      <c r="H11" s="13" t="inlineStr">
        <is>
          <t>To Do</t>
        </is>
      </c>
      <c r="I11" t="inlineStr">
        <is>
          <t>2026-03-25</t>
        </is>
      </c>
      <c r="J11" t="inlineStr"/>
      <c r="K11" t="inlineStr">
        <is>
          <t>Pending</t>
        </is>
      </c>
      <c r="L11" t="inlineStr">
        <is>
          <t>2026-03-05 08:30</t>
        </is>
      </c>
    </row>
    <row r="12">
      <c r="A12" t="inlineStr">
        <is>
          <t>T011</t>
        </is>
      </c>
      <c r="B12" t="inlineStr">
        <is>
          <t>PROJ004</t>
        </is>
      </c>
      <c r="C12" t="inlineStr">
        <is>
          <t>Backend API</t>
        </is>
      </c>
      <c r="D12" t="inlineStr">
        <is>
          <t>Build customer data endpoints</t>
        </is>
      </c>
      <c r="E12" t="inlineStr">
        <is>
          <t>duong</t>
        </is>
      </c>
      <c r="F12" t="inlineStr">
        <is>
          <t>linh</t>
        </is>
      </c>
      <c r="G12" s="10" t="inlineStr">
        <is>
          <t>High</t>
        </is>
      </c>
      <c r="H12" s="9" t="inlineStr">
        <is>
          <t>Done</t>
        </is>
      </c>
      <c r="I12" t="inlineStr">
        <is>
          <t>2026-02-15</t>
        </is>
      </c>
      <c r="J12" t="inlineStr">
        <is>
          <t>CP-45</t>
        </is>
      </c>
      <c r="K12" t="inlineStr">
        <is>
          <t>Synced</t>
        </is>
      </c>
      <c r="L12" t="inlineStr">
        <is>
          <t>2026-02-20 16:00</t>
        </is>
      </c>
    </row>
    <row r="13">
      <c r="A13" t="inlineStr">
        <is>
          <t>T012</t>
        </is>
      </c>
      <c r="B13" t="inlineStr">
        <is>
          <t>PROJ004</t>
        </is>
      </c>
      <c r="C13" t="inlineStr">
        <is>
          <t>Frontend Dashboard</t>
        </is>
      </c>
      <c r="D13" t="inlineStr">
        <is>
          <t>Create customer analytics dashboard</t>
        </is>
      </c>
      <c r="E13" t="inlineStr">
        <is>
          <t>linh</t>
        </is>
      </c>
      <c r="F13" t="inlineStr">
        <is>
          <t>duong</t>
        </is>
      </c>
      <c r="G13" s="12" t="inlineStr">
        <is>
          <t>Medium</t>
        </is>
      </c>
      <c r="H13" s="9" t="inlineStr">
        <is>
          <t>Done</t>
        </is>
      </c>
      <c r="I13" t="inlineStr">
        <is>
          <t>2026-02-25</t>
        </is>
      </c>
      <c r="J13" t="inlineStr">
        <is>
          <t>CP-46</t>
        </is>
      </c>
      <c r="K13" t="inlineStr">
        <is>
          <t>Synced</t>
        </is>
      </c>
      <c r="L13" t="inlineStr">
        <is>
          <t>2026-02-28 14:00</t>
        </is>
      </c>
    </row>
    <row r="14">
      <c r="A14" t="inlineStr">
        <is>
          <t>T013</t>
        </is>
      </c>
      <c r="B14" t="inlineStr">
        <is>
          <t>PROJ001</t>
        </is>
      </c>
      <c r="C14" t="inlineStr">
        <is>
          <t>Write Unit Tests</t>
        </is>
      </c>
      <c r="D14" t="inlineStr">
        <is>
          <t>Achieve 80% code coverage</t>
        </is>
      </c>
      <c r="E14" t="inlineStr">
        <is>
          <t>duong</t>
        </is>
      </c>
      <c r="F14" t="inlineStr">
        <is>
          <t>mai</t>
        </is>
      </c>
      <c r="G14" s="15" t="inlineStr">
        <is>
          <t>Low</t>
        </is>
      </c>
      <c r="H14" s="16" t="inlineStr">
        <is>
          <t>Blocked</t>
        </is>
      </c>
      <c r="I14" t="inlineStr">
        <is>
          <t>2026-03-18</t>
        </is>
      </c>
      <c r="J14" t="inlineStr">
        <is>
          <t>AIM-27</t>
        </is>
      </c>
      <c r="K14" t="inlineStr">
        <is>
          <t>Synced</t>
        </is>
      </c>
      <c r="L14" t="inlineStr">
        <is>
          <t>2026-03-05 11:00</t>
        </is>
      </c>
    </row>
    <row r="15">
      <c r="A15" t="inlineStr">
        <is>
          <t>T014</t>
        </is>
      </c>
      <c r="B15" t="inlineStr">
        <is>
          <t>PROJ002</t>
        </is>
      </c>
      <c r="C15" t="inlineStr">
        <is>
          <t>Dark Mode Support</t>
        </is>
      </c>
      <c r="D15" t="inlineStr">
        <is>
          <t>Implement theme switching</t>
        </is>
      </c>
      <c r="E15" t="inlineStr">
        <is>
          <t>mai</t>
        </is>
      </c>
      <c r="F15" t="inlineStr">
        <is>
          <t>linh</t>
        </is>
      </c>
      <c r="G15" s="15" t="inlineStr">
        <is>
          <t>Low</t>
        </is>
      </c>
      <c r="H15" s="13" t="inlineStr">
        <is>
          <t>To Do</t>
        </is>
      </c>
      <c r="I15" t="inlineStr">
        <is>
          <t>2026-04-05</t>
        </is>
      </c>
      <c r="J15" t="inlineStr">
        <is>
          <t>MAR-16</t>
        </is>
      </c>
      <c r="K15" t="inlineStr">
        <is>
          <t>Pending</t>
        </is>
      </c>
      <c r="L15" t="inlineStr">
        <is>
          <t>2026-03-04 09:30</t>
        </is>
      </c>
    </row>
    <row r="16">
      <c r="A16" t="inlineStr">
        <is>
          <t>T015</t>
        </is>
      </c>
      <c r="B16" t="inlineStr">
        <is>
          <t>PROJ001</t>
        </is>
      </c>
      <c r="C16" t="inlineStr">
        <is>
          <t>Setup Monitoring</t>
        </is>
      </c>
      <c r="D16" t="inlineStr">
        <is>
          <t>Configure Sentry and DataDog</t>
        </is>
      </c>
      <c r="E16" t="inlineStr">
        <is>
          <t>mai</t>
        </is>
      </c>
      <c r="F16" t="inlineStr">
        <is>
          <t>duong</t>
        </is>
      </c>
      <c r="G16" s="12" t="inlineStr">
        <is>
          <t>Medium</t>
        </is>
      </c>
      <c r="H16" s="13" t="inlineStr">
        <is>
          <t>To Do</t>
        </is>
      </c>
      <c r="I16" t="inlineStr">
        <is>
          <t>2026-03-22</t>
        </is>
      </c>
      <c r="J16" t="inlineStr"/>
      <c r="K16" t="inlineStr">
        <is>
          <t>Pending</t>
        </is>
      </c>
      <c r="L16" t="inlineStr">
        <is>
          <t>2026-03-05 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7" customWidth="1" min="3" max="3"/>
    <col width="13" customWidth="1" min="4" max="4"/>
    <col width="25" customWidth="1" min="5" max="5"/>
    <col width="12" customWidth="1" min="6" max="6"/>
    <col width="18" customWidth="1" min="7" max="7"/>
  </cols>
  <sheetData>
    <row r="1">
      <c r="A1" s="6" t="inlineStr">
        <is>
          <t>update_id</t>
        </is>
      </c>
      <c r="B1" s="6" t="inlineStr">
        <is>
          <t>task_id</t>
        </is>
      </c>
      <c r="C1" s="6" t="inlineStr">
        <is>
          <t>update_type</t>
        </is>
      </c>
      <c r="D1" s="6" t="inlineStr">
        <is>
          <t>old_value</t>
        </is>
      </c>
      <c r="E1" s="6" t="inlineStr">
        <is>
          <t>new_value</t>
        </is>
      </c>
      <c r="F1" s="6" t="inlineStr">
        <is>
          <t>updated_by</t>
        </is>
      </c>
      <c r="G1" s="6" t="inlineStr">
        <is>
          <t>update_time</t>
        </is>
      </c>
    </row>
    <row r="2">
      <c r="A2" t="inlineStr">
        <is>
          <t>U001</t>
        </is>
      </c>
      <c r="B2" t="inlineStr">
        <is>
          <t>T002</t>
        </is>
      </c>
      <c r="C2" t="inlineStr">
        <is>
          <t>status_change</t>
        </is>
      </c>
      <c r="D2" t="inlineStr">
        <is>
          <t>To Do</t>
        </is>
      </c>
      <c r="E2" t="inlineStr">
        <is>
          <t>In Progress</t>
        </is>
      </c>
      <c r="F2" t="inlineStr">
        <is>
          <t>mai</t>
        </is>
      </c>
      <c r="G2" t="inlineStr">
        <is>
          <t>2026-03-05 10:15</t>
        </is>
      </c>
    </row>
    <row r="3">
      <c r="A3" t="inlineStr">
        <is>
          <t>U002</t>
        </is>
      </c>
      <c r="B3" t="inlineStr">
        <is>
          <t>T001</t>
        </is>
      </c>
      <c r="C3" t="inlineStr">
        <is>
          <t>comment</t>
        </is>
      </c>
      <c r="D3" t="inlineStr"/>
      <c r="E3" t="inlineStr">
        <is>
          <t>Implemented OAuth2 flow</t>
        </is>
      </c>
      <c r="F3" t="inlineStr">
        <is>
          <t>duong</t>
        </is>
      </c>
      <c r="G3" t="inlineStr">
        <is>
          <t>2026-03-05 14:30</t>
        </is>
      </c>
    </row>
    <row r="4">
      <c r="A4" t="inlineStr">
        <is>
          <t>U003</t>
        </is>
      </c>
      <c r="B4" t="inlineStr">
        <is>
          <t>T005</t>
        </is>
      </c>
      <c r="C4" t="inlineStr">
        <is>
          <t>status_change</t>
        </is>
      </c>
      <c r="D4" t="inlineStr">
        <is>
          <t>In Progress</t>
        </is>
      </c>
      <c r="E4" t="inlineStr">
        <is>
          <t>Done</t>
        </is>
      </c>
      <c r="F4" t="inlineStr">
        <is>
          <t>linh</t>
        </is>
      </c>
      <c r="G4" t="inlineStr">
        <is>
          <t>2026-02-25 11:20</t>
        </is>
      </c>
    </row>
    <row r="5">
      <c r="A5" t="inlineStr">
        <is>
          <t>U004</t>
        </is>
      </c>
      <c r="B5" t="inlineStr">
        <is>
          <t>T006</t>
        </is>
      </c>
      <c r="C5" t="inlineStr">
        <is>
          <t>status_change</t>
        </is>
      </c>
      <c r="D5" t="inlineStr">
        <is>
          <t>In Progress</t>
        </is>
      </c>
      <c r="E5" t="inlineStr">
        <is>
          <t>Done</t>
        </is>
      </c>
      <c r="F5" t="inlineStr">
        <is>
          <t>linh</t>
        </is>
      </c>
      <c r="G5" t="inlineStr">
        <is>
          <t>2026-03-01 15:30</t>
        </is>
      </c>
    </row>
    <row r="6">
      <c r="A6" t="inlineStr">
        <is>
          <t>U005</t>
        </is>
      </c>
      <c r="B6" t="inlineStr">
        <is>
          <t>T007</t>
        </is>
      </c>
      <c r="C6" t="inlineStr">
        <is>
          <t>status_change</t>
        </is>
      </c>
      <c r="D6" t="inlineStr">
        <is>
          <t>To Do</t>
        </is>
      </c>
      <c r="E6" t="inlineStr">
        <is>
          <t>In Progress</t>
        </is>
      </c>
      <c r="F6" t="inlineStr">
        <is>
          <t>linh</t>
        </is>
      </c>
      <c r="G6" t="inlineStr">
        <is>
          <t>2026-03-05 13:00</t>
        </is>
      </c>
    </row>
    <row r="7">
      <c r="A7" t="inlineStr">
        <is>
          <t>U006</t>
        </is>
      </c>
      <c r="B7" t="inlineStr">
        <is>
          <t>T001</t>
        </is>
      </c>
      <c r="C7" t="inlineStr">
        <is>
          <t>priority_change</t>
        </is>
      </c>
      <c r="D7" t="inlineStr">
        <is>
          <t>Medium</t>
        </is>
      </c>
      <c r="E7" t="inlineStr">
        <is>
          <t>High</t>
        </is>
      </c>
      <c r="F7" t="inlineStr">
        <is>
          <t>linh</t>
        </is>
      </c>
      <c r="G7" t="inlineStr">
        <is>
          <t>2026-03-04 09:00</t>
        </is>
      </c>
    </row>
    <row r="8">
      <c r="A8" t="inlineStr">
        <is>
          <t>U007</t>
        </is>
      </c>
      <c r="B8" t="inlineStr">
        <is>
          <t>T011</t>
        </is>
      </c>
      <c r="C8" t="inlineStr">
        <is>
          <t>status_change</t>
        </is>
      </c>
      <c r="D8" t="inlineStr">
        <is>
          <t>In Progress</t>
        </is>
      </c>
      <c r="E8" t="inlineStr">
        <is>
          <t>Done</t>
        </is>
      </c>
      <c r="F8" t="inlineStr">
        <is>
          <t>duong</t>
        </is>
      </c>
      <c r="G8" t="inlineStr">
        <is>
          <t>2026-02-20 16:00</t>
        </is>
      </c>
    </row>
    <row r="9">
      <c r="A9" t="inlineStr">
        <is>
          <t>U008</t>
        </is>
      </c>
      <c r="B9" t="inlineStr">
        <is>
          <t>T012</t>
        </is>
      </c>
      <c r="C9" t="inlineStr">
        <is>
          <t>status_change</t>
        </is>
      </c>
      <c r="D9" t="inlineStr">
        <is>
          <t>In Progress</t>
        </is>
      </c>
      <c r="E9" t="inlineStr">
        <is>
          <t>Done</t>
        </is>
      </c>
      <c r="F9" t="inlineStr">
        <is>
          <t>linh</t>
        </is>
      </c>
      <c r="G9" t="inlineStr">
        <is>
          <t>2026-02-28 14:00</t>
        </is>
      </c>
    </row>
    <row r="10">
      <c r="A10" t="inlineStr">
        <is>
          <t>U009</t>
        </is>
      </c>
      <c r="B10" t="inlineStr">
        <is>
          <t>T013</t>
        </is>
      </c>
      <c r="C10" t="inlineStr">
        <is>
          <t>status_change</t>
        </is>
      </c>
      <c r="D10" t="inlineStr">
        <is>
          <t>To Do</t>
        </is>
      </c>
      <c r="E10" t="inlineStr">
        <is>
          <t>Blocked</t>
        </is>
      </c>
      <c r="F10" t="inlineStr">
        <is>
          <t>duong</t>
        </is>
      </c>
      <c r="G10" t="inlineStr">
        <is>
          <t>2026-03-05 11:00</t>
        </is>
      </c>
    </row>
    <row r="11">
      <c r="A11" t="inlineStr">
        <is>
          <t>U010</t>
        </is>
      </c>
      <c r="B11" t="inlineStr">
        <is>
          <t>T013</t>
        </is>
      </c>
      <c r="C11" t="inlineStr">
        <is>
          <t>comment</t>
        </is>
      </c>
      <c r="D11" t="inlineStr"/>
      <c r="E11" t="inlineStr">
        <is>
          <t>Blocked by API changes</t>
        </is>
      </c>
      <c r="F11" t="inlineStr">
        <is>
          <t>duong</t>
        </is>
      </c>
      <c r="G11" t="inlineStr">
        <is>
          <t>2026-03-05 11:00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9" customWidth="1" min="3" max="3"/>
    <col width="18" customWidth="1" min="4" max="4"/>
    <col width="20" customWidth="1" min="5" max="5"/>
  </cols>
  <sheetData>
    <row r="1">
      <c r="A1" s="6" t="inlineStr">
        <is>
          <t>user_id</t>
        </is>
      </c>
      <c r="B1" s="6" t="inlineStr">
        <is>
          <t>name</t>
        </is>
      </c>
      <c r="C1" s="6" t="inlineStr">
        <is>
          <t>email</t>
        </is>
      </c>
      <c r="D1" s="6" t="inlineStr">
        <is>
          <t>jira_account_id</t>
        </is>
      </c>
      <c r="E1" s="6" t="inlineStr">
        <is>
          <t>role</t>
        </is>
      </c>
    </row>
    <row r="2">
      <c r="A2" t="inlineStr">
        <is>
          <t>U01</t>
        </is>
      </c>
      <c r="B2" t="inlineStr">
        <is>
          <t>duong</t>
        </is>
      </c>
      <c r="C2" t="inlineStr">
        <is>
          <t>duong@company.com</t>
        </is>
      </c>
      <c r="D2" t="inlineStr">
        <is>
          <t>5f8a9b2c3d4e5f6a</t>
        </is>
      </c>
      <c r="E2" t="inlineStr">
        <is>
          <t>Tech Lead</t>
        </is>
      </c>
    </row>
    <row r="3">
      <c r="A3" t="inlineStr">
        <is>
          <t>U02</t>
        </is>
      </c>
      <c r="B3" t="inlineStr">
        <is>
          <t>mai</t>
        </is>
      </c>
      <c r="C3" t="inlineStr">
        <is>
          <t>mai@company.com</t>
        </is>
      </c>
      <c r="D3" t="inlineStr">
        <is>
          <t>6g9b0c3d4e5f6a7b</t>
        </is>
      </c>
      <c r="E3" t="inlineStr">
        <is>
          <t>Backend Developer</t>
        </is>
      </c>
    </row>
    <row r="4">
      <c r="A4" t="inlineStr">
        <is>
          <t>U03</t>
        </is>
      </c>
      <c r="B4" t="inlineStr">
        <is>
          <t>linh</t>
        </is>
      </c>
      <c r="C4" t="inlineStr">
        <is>
          <t>linh@company.com</t>
        </is>
      </c>
      <c r="D4" t="inlineStr">
        <is>
          <t>7h0c1d4e5f6a7b8c</t>
        </is>
      </c>
      <c r="E4" t="inlineStr">
        <is>
          <t>Frontend Developer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2" customWidth="1" min="4" max="4"/>
    <col width="9" customWidth="1" min="5" max="5"/>
    <col width="28" customWidth="1" min="6" max="6"/>
    <col width="18" customWidth="1" min="7" max="7"/>
  </cols>
  <sheetData>
    <row r="1">
      <c r="A1" s="6" t="inlineStr">
        <is>
          <t>log_id</t>
        </is>
      </c>
      <c r="B1" s="6" t="inlineStr">
        <is>
          <t>task_id</t>
        </is>
      </c>
      <c r="C1" s="6" t="inlineStr">
        <is>
          <t>action</t>
        </is>
      </c>
      <c r="D1" s="6" t="inlineStr">
        <is>
          <t>jira_issue</t>
        </is>
      </c>
      <c r="E1" s="6" t="inlineStr">
        <is>
          <t>status</t>
        </is>
      </c>
      <c r="F1" s="6" t="inlineStr">
        <is>
          <t>message</t>
        </is>
      </c>
      <c r="G1" s="6" t="inlineStr">
        <is>
          <t>timestamp</t>
        </is>
      </c>
    </row>
    <row r="2">
      <c r="A2" t="inlineStr">
        <is>
          <t>L001</t>
        </is>
      </c>
      <c r="B2" t="inlineStr">
        <is>
          <t>T001</t>
        </is>
      </c>
      <c r="C2" t="inlineStr">
        <is>
          <t>create</t>
        </is>
      </c>
      <c r="D2" t="inlineStr">
        <is>
          <t>AIM-23</t>
        </is>
      </c>
      <c r="E2" s="9" t="inlineStr">
        <is>
          <t>success</t>
        </is>
      </c>
      <c r="F2" t="inlineStr">
        <is>
          <t>Issue created successfully</t>
        </is>
      </c>
      <c r="G2" t="inlineStr">
        <is>
          <t>2026-03-03 09:15</t>
        </is>
      </c>
    </row>
    <row r="3">
      <c r="A3" t="inlineStr">
        <is>
          <t>L002</t>
        </is>
      </c>
      <c r="B3" t="inlineStr">
        <is>
          <t>T002</t>
        </is>
      </c>
      <c r="C3" t="inlineStr">
        <is>
          <t>create</t>
        </is>
      </c>
      <c r="D3" t="inlineStr">
        <is>
          <t>AIM-24</t>
        </is>
      </c>
      <c r="E3" s="9" t="inlineStr">
        <is>
          <t>success</t>
        </is>
      </c>
      <c r="F3" t="inlineStr">
        <is>
          <t>Issue created successfully</t>
        </is>
      </c>
      <c r="G3" t="inlineStr">
        <is>
          <t>2026-03-03 09:15</t>
        </is>
      </c>
    </row>
    <row r="4">
      <c r="A4" t="inlineStr">
        <is>
          <t>L003</t>
        </is>
      </c>
      <c r="B4" t="inlineStr">
        <is>
          <t>T003</t>
        </is>
      </c>
      <c r="C4" t="inlineStr">
        <is>
          <t>create</t>
        </is>
      </c>
      <c r="D4" t="inlineStr">
        <is>
          <t>AIM-25</t>
        </is>
      </c>
      <c r="E4" s="9" t="inlineStr">
        <is>
          <t>success</t>
        </is>
      </c>
      <c r="F4" t="inlineStr">
        <is>
          <t>Issue created successfully</t>
        </is>
      </c>
      <c r="G4" t="inlineStr">
        <is>
          <t>2026-03-03 09:16</t>
        </is>
      </c>
    </row>
    <row r="5">
      <c r="A5" t="inlineStr">
        <is>
          <t>L004</t>
        </is>
      </c>
      <c r="B5" t="inlineStr">
        <is>
          <t>T001</t>
        </is>
      </c>
      <c r="C5" t="inlineStr">
        <is>
          <t>update</t>
        </is>
      </c>
      <c r="D5" t="inlineStr">
        <is>
          <t>AIM-23</t>
        </is>
      </c>
      <c r="E5" s="9" t="inlineStr">
        <is>
          <t>success</t>
        </is>
      </c>
      <c r="F5" t="inlineStr">
        <is>
          <t>Status updated</t>
        </is>
      </c>
      <c r="G5" t="inlineStr">
        <is>
          <t>2026-03-05 14:30</t>
        </is>
      </c>
    </row>
    <row r="6">
      <c r="A6" t="inlineStr">
        <is>
          <t>L005</t>
        </is>
      </c>
      <c r="B6" t="inlineStr">
        <is>
          <t>T002</t>
        </is>
      </c>
      <c r="C6" t="inlineStr">
        <is>
          <t>update</t>
        </is>
      </c>
      <c r="D6" t="inlineStr">
        <is>
          <t>AIM-24</t>
        </is>
      </c>
      <c r="E6" s="9" t="inlineStr">
        <is>
          <t>success</t>
        </is>
      </c>
      <c r="F6" t="inlineStr">
        <is>
          <t>Status updated</t>
        </is>
      </c>
      <c r="G6" t="inlineStr">
        <is>
          <t>2026-03-05 10:15</t>
        </is>
      </c>
    </row>
    <row r="7">
      <c r="A7" t="inlineStr">
        <is>
          <t>L006</t>
        </is>
      </c>
      <c r="B7" t="inlineStr">
        <is>
          <t>T004</t>
        </is>
      </c>
      <c r="C7" t="inlineStr">
        <is>
          <t>create</t>
        </is>
      </c>
      <c r="D7" t="inlineStr">
        <is>
          <t>AIM-26</t>
        </is>
      </c>
      <c r="E7" s="17" t="inlineStr">
        <is>
          <t>failed</t>
        </is>
      </c>
      <c r="F7" t="inlineStr">
        <is>
          <t>Authentication error</t>
        </is>
      </c>
      <c r="G7" t="inlineStr">
        <is>
          <t>2026-03-05 09:00</t>
        </is>
      </c>
    </row>
    <row r="8">
      <c r="A8" t="inlineStr">
        <is>
          <t>L007</t>
        </is>
      </c>
      <c r="B8" t="inlineStr">
        <is>
          <t>T007</t>
        </is>
      </c>
      <c r="C8" t="inlineStr">
        <is>
          <t>update</t>
        </is>
      </c>
      <c r="D8" t="inlineStr">
        <is>
          <t>MAR-14</t>
        </is>
      </c>
      <c r="E8" s="9" t="inlineStr">
        <is>
          <t>success</t>
        </is>
      </c>
      <c r="F8" t="inlineStr">
        <is>
          <t>Status updated</t>
        </is>
      </c>
      <c r="G8" t="inlineStr">
        <is>
          <t>2026-03-05 13:00</t>
        </is>
      </c>
    </row>
    <row r="9">
      <c r="A9" t="inlineStr">
        <is>
          <t>L008</t>
        </is>
      </c>
      <c r="B9" t="inlineStr">
        <is>
          <t>T013</t>
        </is>
      </c>
      <c r="C9" t="inlineStr">
        <is>
          <t>update</t>
        </is>
      </c>
      <c r="D9" t="inlineStr">
        <is>
          <t>AIM-27</t>
        </is>
      </c>
      <c r="E9" s="9" t="inlineStr">
        <is>
          <t>success</t>
        </is>
      </c>
      <c r="F9" t="inlineStr">
        <is>
          <t>Status updated to Blocked</t>
        </is>
      </c>
      <c r="G9" t="inlineStr">
        <is>
          <t>2026-03-05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2026-03-05T12:14:48Z</dcterms:created>
  <dcterms:modified xmlns:dcterms="http://purl.org/dc/terms/" xmlns:xsi="http://www.w3.org/2001/XMLSchema-instance" xsi:type="dcterms:W3CDTF">2026-03-05T12:14:48Z</dcterms:modified>
</cp:coreProperties>
</file>